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ndFloor\212_COSS_online_OnDeviceAI모델링\OnDevAIModel_prep\Admin\"/>
    </mc:Choice>
  </mc:AlternateContent>
  <xr:revisionPtr revIDLastSave="0" documentId="13_ncr:1_{135ACF55-4872-4112-8B06-29E0A96ED1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4 지능형IoT" sheetId="1" r:id="rId1"/>
    <sheet name="2025 온디바이스AI모델링" sheetId="4" r:id="rId2"/>
  </sheets>
  <definedNames>
    <definedName name="ExternalData_2" localSheetId="1" hidden="1">'2025 온디바이스AI모델링'!$A$2:$C$41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C42" i="4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47" i="1"/>
  <c r="C45" i="1"/>
  <c r="C43" i="1"/>
  <c r="C41" i="1"/>
  <c r="B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10DCBC-9991-4950-8333-40ED173B3243}" keepAlive="1" name="쿼리 - count" description="통합 문서의 'count' 쿼리에 대한 연결입니다." type="5" refreshedVersion="0" background="1">
    <dbPr connection="Provider=Microsoft.Mashup.OleDb.1;Data Source=$Workbook$;Location=count;Extended Properties=&quot;&quot;" command="SELECT * FROM [count]"/>
  </connection>
  <connection id="2" xr16:uid="{D2730D0A-758A-4854-8B76-803641EC6731}" keepAlive="1" name="쿼리 - count (2)" description="통합 문서의 'count (2)' 쿼리에 대한 연결입니다." type="5" refreshedVersion="7" background="1" saveData="1">
    <dbPr connection="Provider=Microsoft.Mashup.OleDb.1;Data Source=$Workbook$;Location=&quot;count (2)&quot;;Extended Properties=&quot;&quot;" command="SELECT * FROM [count (2)]"/>
  </connection>
</connections>
</file>

<file path=xl/sharedStrings.xml><?xml version="1.0" encoding="utf-8"?>
<sst xmlns="http://schemas.openxmlformats.org/spreadsheetml/2006/main" count="90" uniqueCount="90">
  <si>
    <t>1-1</t>
    <phoneticPr fontId="1" type="noConversion"/>
  </si>
  <si>
    <t>1-2</t>
    <phoneticPr fontId="1" type="noConversion"/>
  </si>
  <si>
    <t>1-3</t>
    <phoneticPr fontId="1" type="noConversion"/>
  </si>
  <si>
    <t>2-1</t>
    <phoneticPr fontId="1" type="noConversion"/>
  </si>
  <si>
    <t>2-2</t>
    <phoneticPr fontId="1" type="noConversion"/>
  </si>
  <si>
    <t>3-3</t>
    <phoneticPr fontId="1" type="noConversion"/>
  </si>
  <si>
    <t>3-1</t>
    <phoneticPr fontId="1" type="noConversion"/>
  </si>
  <si>
    <t>3-2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</si>
  <si>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</si>
  <si>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</si>
  <si>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</si>
  <si>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</si>
  <si>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차시</t>
    <phoneticPr fontId="1" type="noConversion"/>
  </si>
  <si>
    <t>총 수</t>
    <phoneticPr fontId="1" type="noConversion"/>
  </si>
  <si>
    <t>시작/끝 표지 제외</t>
    <phoneticPr fontId="1" type="noConversion"/>
  </si>
  <si>
    <t>2-3</t>
    <phoneticPr fontId="1" type="noConversion"/>
  </si>
  <si>
    <t>5-2</t>
    <phoneticPr fontId="1" type="noConversion"/>
  </si>
  <si>
    <t>5-3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</si>
  <si>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</si>
  <si>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</si>
  <si>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</si>
  <si>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</si>
  <si>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</si>
  <si>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</si>
  <si>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</si>
  <si>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</si>
  <si>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</si>
  <si>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9-1</t>
    <phoneticPr fontId="1" type="noConversion"/>
  </si>
  <si>
    <t>9-2</t>
    <phoneticPr fontId="1" type="noConversion"/>
  </si>
  <si>
    <t>9-3</t>
    <phoneticPr fontId="1" type="noConversion"/>
  </si>
  <si>
    <t>10-1</t>
    <phoneticPr fontId="1" type="noConversion"/>
  </si>
  <si>
    <t>10-2</t>
    <phoneticPr fontId="1" type="noConversion"/>
  </si>
  <si>
    <t>10-3</t>
    <phoneticPr fontId="1" type="noConversion"/>
  </si>
  <si>
    <t>11-1</t>
    <phoneticPr fontId="1" type="noConversion"/>
  </si>
  <si>
    <t>11-2</t>
    <phoneticPr fontId="1" type="noConversion"/>
  </si>
  <si>
    <t>11-3</t>
    <phoneticPr fontId="1" type="noConversion"/>
  </si>
  <si>
    <t>12-1</t>
    <phoneticPr fontId="1" type="noConversion"/>
  </si>
  <si>
    <t>12-2</t>
    <phoneticPr fontId="1" type="noConversion"/>
  </si>
  <si>
    <t>13-3</t>
    <phoneticPr fontId="1" type="noConversion"/>
  </si>
  <si>
    <t>12-3</t>
    <phoneticPr fontId="1" type="noConversion"/>
  </si>
  <si>
    <t>13-1</t>
    <phoneticPr fontId="1" type="noConversion"/>
  </si>
  <si>
    <t>13-2</t>
    <phoneticPr fontId="1" type="noConversion"/>
  </si>
  <si>
    <t>총합</t>
    <phoneticPr fontId="1" type="noConversion"/>
  </si>
  <si>
    <t>단가</t>
    <phoneticPr fontId="1" type="noConversion"/>
  </si>
  <si>
    <t>강의자료</t>
    <phoneticPr fontId="1" type="noConversion"/>
  </si>
  <si>
    <t>동영상</t>
    <phoneticPr fontId="1" type="noConversion"/>
  </si>
  <si>
    <t>저작권추가</t>
    <phoneticPr fontId="1" type="noConversion"/>
  </si>
  <si>
    <t>Column1</t>
  </si>
  <si>
    <t>Column2</t>
  </si>
  <si>
    <t>Column3</t>
  </si>
  <si>
    <t xml:space="preserve">10_2_?쇱꽌 ?듯빀 媛쒖슂.pptx </t>
  </si>
  <si>
    <t xml:space="preserve">10_3_?쇱꽌 IoT 蹂댁븞.pptx </t>
  </si>
  <si>
    <t xml:space="preserve">11_1_?⑤뵒諛붿씠???대?吏 遺꾨쪟 紐⑤뜽.pptx </t>
  </si>
  <si>
    <t xml:space="preserve">11_2_?⑤뵒諛붿씠???숈뒿 ?대?吏 ?섏쭛.pptx </t>
  </si>
  <si>
    <t xml:space="preserve">11_3_?⑤뵒諛붿씠??紐⑤뜽 ?숈뒿 怨쇱젙.pptx </t>
  </si>
  <si>
    <t xml:space="preserve">12_1_?ㅼ썙???먯?.pptx </t>
  </si>
  <si>
    <t xml:space="preserve">12_2_?ㅼ썙???뚯꽦 ?먯? ?곗씠?곗닔吏?諛??꾩쿂由?媛쒕뀗.pptx </t>
  </si>
  <si>
    <t xml:space="preserve">12_3_?ㅼ썙???뚯꽦 ?먯? ?곗씠?곗닔吏?諛??꾩쿂由?怨쇱젙.pptx </t>
  </si>
  <si>
    <t xml:space="preserve">13_1_?댁넚 ?섍꼍?먯꽌???⑤뵒諛붿씠??AI 湲곕컲 ?숈옉 遺꾨쪟.pptx </t>
  </si>
  <si>
    <t xml:space="preserve">13_2_?쇱꽌 ?좏샇???ㅽ럺?몃읆 遺꾩꽍???쒖슜???吏곸엫 遺꾨쪟 ?꾩쿂由?pptx </t>
  </si>
  <si>
    <t xml:space="preserve">13_3_?⑤뵒諛붿씠??AI瑜??쒖슜??紐⑥뀡 遺꾨쪟 紐⑤뜽 ?ㅺ퀎 諛?援ы쁽.pptx </t>
  </si>
  <si>
    <t xml:space="preserve">1_1_?⑤뵒諛붿씠??AI 媛쒖슂.pptx </t>
  </si>
  <si>
    <t xml:space="preserve">1_2_IoT? ?ｌ? 而댄벂?? TinyML.pptx </t>
  </si>
  <si>
    <t xml:space="preserve">1_3_?⑤뵒諛붿씠??AI 援ъ꽦?붿냼.pptx </t>
  </si>
  <si>
    <t xml:space="preserve">2_1_IoT ? TinyML.pptx </t>
  </si>
  <si>
    <t xml:space="preserve">2_2_?λ윭?앷낵 TinyML.pptx </t>
  </si>
  <si>
    <t xml:space="preserve">2_3_TinyML??怨쇱젣.pptx </t>
  </si>
  <si>
    <t xml:space="preserve">3_1_癒몄떊?щ떇 ?⑤윭?ㅼ엫.pptx </t>
  </si>
  <si>
    <t xml:space="preserve">3_2_癒몄떊?щ떇 ?숈뒿???먮━.pptx </t>
  </si>
  <si>
    <t xml:space="preserve">3_3_癒몄떊?щ떇 湲곕컲???ㅼ뼇??遺꾨쪟諛⑸쾿.pptx </t>
  </si>
  <si>
    <t xml:space="preserve">4_1_?⑤뵒諛붿씠??AI瑜??꾪븳 癒몄떊?щ떇 遺꾨쪟 ?뚭퀬由ъ쬁???댄빐? 鍮꾧탳.pptx </t>
  </si>
  <si>
    <t xml:space="preserve">4_2_癒몄떊?щ떇 遺꾨쪟 湲곕쾿???대줎怨??쇰컲???꾨왂.pptx </t>
  </si>
  <si>
    <t xml:space="preserve">4_3_癒몄떊?щ떇 ?깅뒫 吏??pptx </t>
  </si>
  <si>
    <t xml:space="preserve">5_1_?λ윭??湲곕낯_?뚭? 紐⑤뜽留?pptx </t>
  </si>
  <si>
    <t xml:space="preserve">5_2_?λ윭??湲곕낯_遺꾨쪟 紐⑤뜽留?pptx </t>
  </si>
  <si>
    <t xml:space="preserve">5_3_CNN湲곕컲 ?대?吏 遺꾨쪟? ?뱀쭠 異붿텧.pptx </t>
  </si>
  <si>
    <t xml:space="preserve">6_1_CNN???숈뒿 理쒖쟻?붿? ?대?吏 遺꾨쪟 怨쇱젙.pptx </t>
  </si>
  <si>
    <t xml:space="preserve">6_2_?ㅻ쾭?쇳똿 諛⑹?瑜??꾪븳 ?곗씠???뺤옣.pptx </t>
  </si>
  <si>
    <t xml:space="preserve">6_3_?뺢퇋??諛??쇰컲??pptx </t>
  </si>
  <si>
    <t xml:space="preserve">7_1_紐⑤뜽 ?깅뒫 ?됯? 諛?媛쒖꽑.pptx </t>
  </si>
  <si>
    <t xml:space="preserve">7_2_紐⑤뜽 寃쎈웾?붾? ?꾪븳 ?듭떖 湲곗닠.pptx </t>
  </si>
  <si>
    <t xml:space="preserve">7_3_?⑤뵒諛붿씠??LLM 寃쎈웾??pptx </t>
  </si>
  <si>
    <t xml:space="preserve">8_1_鍮꾩????숈뒿 湲곕컲 K-Means ?대윭?ㅽ꽣留곴낵 ?댁긽 ?먯?.pptx </t>
  </si>
  <si>
    <t xml:space="preserve">8_2_?대윭?ㅽ꽣留?湲곕컲 ?댁긽 ?먯?? ?⑤뵒諛붿씠???곸슜.pptx </t>
  </si>
  <si>
    <t xml:space="preserve">8_3_?⑤뵒諛붿씠???섍꼍???꾪븳 以吏???숈뒿.pptx </t>
  </si>
  <si>
    <t xml:space="preserve">9_1_TinyML Kit 媛쒖슂.pptx </t>
  </si>
  <si>
    <t xml:space="preserve">9_2_TinyML Kit ?ㅼ젙.pptx </t>
  </si>
  <si>
    <t xml:space="preserve">9_3_TinyML Kit???쒖슜???쇱꽌 湲곕컲 ?ㅼ뒿 諛?紐⑤뜽 ?묒슜 ?덉젣.pptx </t>
  </si>
  <si>
    <t xml:space="preserve">10_1_TinyML 湲곕컲 ?⑤뵒諛붿씠??遺꾨쪟 紐⑤뜽 ?ㅺ퀎 諛?理쒖쟻??pptx </t>
  </si>
  <si>
    <t>2025 온디바이스AI모델링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</si>
</sst>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quotePrefix="1" applyNumberFormat="1"/>
    <xf numFmtId="176" fontId="0" fillId="0" borderId="0" xfId="0" applyNumberFormat="1"/>
    <xf numFmtId="3" fontId="0" fillId="0" borderId="0" xfId="0" applyNumberFormat="1"/>
    <xf numFmtId="41" fontId="0" fillId="0" borderId="0" xfId="1" applyFont="1" applyAlignment="1"/>
    <xf numFmtId="0" fontId="0" fillId="0" borderId="0" xfId="0" applyNumberFormat="1"/>
  </cellXfs>
  <cellStyles count="2">
    <cellStyle name="쉼표 [0]" xfId="1" builtinId="6"/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EC83A4C-CB9B-4C2C-AD25-2543ED68C51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A6449F-D87F-482C-ACF8-D45F48B9742B}" name="count__2" displayName="count__2" ref="A2:C42" tableType="queryTable" totalsRowCount="1">
  <autoFilter ref="A2:C41" xr:uid="{57A6449F-D87F-482C-ACF8-D45F48B9742B}"/>
  <tableColumns count="3">
    <tableColumn id="1" xr3:uid="{95DAACAE-C64A-42AD-89F1-3F2287F4EC98}" uniqueName="1" name="Column1" queryTableFieldId="1" dataDxfId="1" totalsRowDxfId="0"/>
    <tableColumn id="2" xr3:uid="{60D3C7F4-52FD-4D52-B98D-4CB89A1EC362}" uniqueName="2" name="Column2" totalsRowFunction="custom" queryTableFieldId="2">
      <totalsRowFormula>SUM(count__2[Column2])</totalsRowFormula>
    </tableColumn>
    <tableColumn id="3" xr3:uid="{BF797023-2A09-4253-8586-ABF1EF0AD690}" uniqueName="3" name="Column3" totalsRowFunction="custom" queryTableFieldId="3">
      <totalsRowFormula>SUM(count__2[Column3])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opLeftCell="A25" workbookViewId="0">
      <selection activeCell="D46" sqref="D46"/>
    </sheetView>
  </sheetViews>
  <sheetFormatPr defaultRowHeight="16.5" x14ac:dyDescent="0.3"/>
  <cols>
    <col min="1" max="1" width="9.875" bestFit="1" customWidth="1"/>
    <col min="3" max="3" width="18.12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46</v>
      </c>
    </row>
    <row r="2" spans="1:4" x14ac:dyDescent="0.3">
      <c r="A2" s="1" t="s">
        <v>0</v>
      </c>
      <c r="B2">
        <v>21</v>
      </c>
      <c r="C2">
        <f>B2-2</f>
        <v>19</v>
      </c>
      <c r="D2">
        <f>B2+1</f>
        <v>22</v>
      </c>
    </row>
    <row r="3" spans="1:4" x14ac:dyDescent="0.3">
      <c r="A3" s="1" t="s">
        <v>1</v>
      </c>
      <c r="B3">
        <v>18</v>
      </c>
      <c r="C3">
        <f t="shared" ref="C3:C40" si="0">B3-2</f>
        <v>16</v>
      </c>
      <c r="D3">
        <f t="shared" ref="D3:D40" si="1">B3+1</f>
        <v>19</v>
      </c>
    </row>
    <row r="4" spans="1:4" x14ac:dyDescent="0.3">
      <c r="A4" s="1" t="s">
        <v>2</v>
      </c>
      <c r="B4">
        <v>22</v>
      </c>
      <c r="C4">
        <f t="shared" si="0"/>
        <v>20</v>
      </c>
      <c r="D4">
        <f t="shared" si="1"/>
        <v>23</v>
      </c>
    </row>
    <row r="5" spans="1:4" x14ac:dyDescent="0.3">
      <c r="A5" s="1" t="s">
        <v>3</v>
      </c>
      <c r="B5">
        <v>17</v>
      </c>
      <c r="C5">
        <f t="shared" si="0"/>
        <v>15</v>
      </c>
      <c r="D5">
        <f t="shared" si="1"/>
        <v>18</v>
      </c>
    </row>
    <row r="6" spans="1:4" x14ac:dyDescent="0.3">
      <c r="A6" s="1" t="s">
        <v>4</v>
      </c>
      <c r="B6">
        <v>21</v>
      </c>
      <c r="C6">
        <f t="shared" si="0"/>
        <v>19</v>
      </c>
      <c r="D6">
        <f t="shared" si="1"/>
        <v>22</v>
      </c>
    </row>
    <row r="7" spans="1:4" x14ac:dyDescent="0.3">
      <c r="A7" s="1" t="s">
        <v>15</v>
      </c>
      <c r="B7">
        <v>19</v>
      </c>
      <c r="C7">
        <f t="shared" si="0"/>
        <v>17</v>
      </c>
      <c r="D7">
        <f t="shared" si="1"/>
        <v>20</v>
      </c>
    </row>
    <row r="8" spans="1:4" x14ac:dyDescent="0.3">
      <c r="A8" s="1" t="s">
        <v>6</v>
      </c>
      <c r="B8">
        <v>21</v>
      </c>
      <c r="C8">
        <f t="shared" si="0"/>
        <v>19</v>
      </c>
      <c r="D8">
        <f t="shared" si="1"/>
        <v>22</v>
      </c>
    </row>
    <row r="9" spans="1:4" x14ac:dyDescent="0.3">
      <c r="A9" s="1" t="s">
        <v>7</v>
      </c>
      <c r="B9">
        <v>19</v>
      </c>
      <c r="C9">
        <f t="shared" si="0"/>
        <v>17</v>
      </c>
      <c r="D9">
        <f t="shared" si="1"/>
        <v>20</v>
      </c>
    </row>
    <row r="10" spans="1:4" x14ac:dyDescent="0.3">
      <c r="A10" s="1" t="s">
        <v>5</v>
      </c>
      <c r="B10">
        <v>18</v>
      </c>
      <c r="C10">
        <f t="shared" si="0"/>
        <v>16</v>
      </c>
      <c r="D10">
        <f t="shared" si="1"/>
        <v>19</v>
      </c>
    </row>
    <row r="11" spans="1:4" x14ac:dyDescent="0.3">
      <c r="A11" s="1" t="s">
        <v>8</v>
      </c>
      <c r="B11">
        <v>20</v>
      </c>
      <c r="C11">
        <f t="shared" si="0"/>
        <v>18</v>
      </c>
      <c r="D11">
        <f t="shared" si="1"/>
        <v>21</v>
      </c>
    </row>
    <row r="12" spans="1:4" x14ac:dyDescent="0.3">
      <c r="A12" s="1" t="s">
        <v>9</v>
      </c>
      <c r="B12">
        <v>20</v>
      </c>
      <c r="C12">
        <f t="shared" si="0"/>
        <v>18</v>
      </c>
      <c r="D12">
        <f t="shared" si="1"/>
        <v>21</v>
      </c>
    </row>
    <row r="13" spans="1:4" x14ac:dyDescent="0.3">
      <c r="A13" s="1" t="s">
        <v>10</v>
      </c>
      <c r="B13">
        <v>21</v>
      </c>
      <c r="C13">
        <f t="shared" si="0"/>
        <v>19</v>
      </c>
      <c r="D13">
        <f t="shared" si="1"/>
        <v>22</v>
      </c>
    </row>
    <row r="14" spans="1:4" x14ac:dyDescent="0.3">
      <c r="A14" s="1" t="s">
        <v>11</v>
      </c>
      <c r="B14">
        <v>24</v>
      </c>
      <c r="C14">
        <f t="shared" si="0"/>
        <v>22</v>
      </c>
      <c r="D14">
        <f t="shared" si="1"/>
        <v>25</v>
      </c>
    </row>
    <row r="15" spans="1:4" x14ac:dyDescent="0.3">
      <c r="A15" s="1" t="s">
        <v>16</v>
      </c>
      <c r="B15">
        <v>16</v>
      </c>
      <c r="C15">
        <f t="shared" si="0"/>
        <v>14</v>
      </c>
      <c r="D15">
        <f t="shared" si="1"/>
        <v>17</v>
      </c>
    </row>
    <row r="16" spans="1:4" x14ac:dyDescent="0.3">
      <c r="A16" s="1" t="s">
        <v>17</v>
      </c>
      <c r="B16">
        <v>20</v>
      </c>
      <c r="C16">
        <f t="shared" si="0"/>
        <v>18</v>
      </c>
      <c r="D16">
        <f t="shared" si="1"/>
        <v>21</v>
      </c>
    </row>
    <row r="17" spans="1:4" x14ac:dyDescent="0.3">
      <c r="A17" s="1" t="s">
        <v>18</v>
      </c>
      <c r="B17">
        <v>23</v>
      </c>
      <c r="C17">
        <f t="shared" si="0"/>
        <v>21</v>
      </c>
      <c r="D17">
        <f t="shared" si="1"/>
        <v>24</v>
      </c>
    </row>
    <row r="18" spans="1:4" x14ac:dyDescent="0.3">
      <c r="A18" s="1" t="s">
        <v>19</v>
      </c>
      <c r="B18">
        <v>18</v>
      </c>
      <c r="C18">
        <f t="shared" si="0"/>
        <v>16</v>
      </c>
      <c r="D18">
        <f t="shared" si="1"/>
        <v>19</v>
      </c>
    </row>
    <row r="19" spans="1:4" x14ac:dyDescent="0.3">
      <c r="A19" s="1" t="s">
        <v>20</v>
      </c>
      <c r="B19">
        <v>24</v>
      </c>
      <c r="C19">
        <f t="shared" si="0"/>
        <v>22</v>
      </c>
      <c r="D19">
        <f t="shared" si="1"/>
        <v>25</v>
      </c>
    </row>
    <row r="20" spans="1:4" x14ac:dyDescent="0.3">
      <c r="A20" s="1" t="s">
        <v>21</v>
      </c>
      <c r="B20">
        <v>20</v>
      </c>
      <c r="C20">
        <f t="shared" si="0"/>
        <v>18</v>
      </c>
      <c r="D20">
        <f t="shared" si="1"/>
        <v>21</v>
      </c>
    </row>
    <row r="21" spans="1:4" x14ac:dyDescent="0.3">
      <c r="A21" s="1" t="s">
        <v>22</v>
      </c>
      <c r="B21">
        <v>23</v>
      </c>
      <c r="C21">
        <f t="shared" si="0"/>
        <v>21</v>
      </c>
      <c r="D21">
        <f t="shared" si="1"/>
        <v>24</v>
      </c>
    </row>
    <row r="22" spans="1:4" x14ac:dyDescent="0.3">
      <c r="A22" s="1" t="s">
        <v>23</v>
      </c>
      <c r="B22">
        <v>23</v>
      </c>
      <c r="C22">
        <f t="shared" si="0"/>
        <v>21</v>
      </c>
      <c r="D22">
        <f t="shared" si="1"/>
        <v>24</v>
      </c>
    </row>
    <row r="23" spans="1:4" x14ac:dyDescent="0.3">
      <c r="A23" s="1" t="s">
        <v>24</v>
      </c>
      <c r="B23">
        <v>18</v>
      </c>
      <c r="C23">
        <f t="shared" si="0"/>
        <v>16</v>
      </c>
      <c r="D23">
        <f t="shared" si="1"/>
        <v>19</v>
      </c>
    </row>
    <row r="24" spans="1:4" x14ac:dyDescent="0.3">
      <c r="A24" s="1" t="s">
        <v>25</v>
      </c>
      <c r="B24">
        <v>22</v>
      </c>
      <c r="C24">
        <f t="shared" si="0"/>
        <v>20</v>
      </c>
      <c r="D24">
        <f t="shared" si="1"/>
        <v>23</v>
      </c>
    </row>
    <row r="25" spans="1:4" x14ac:dyDescent="0.3">
      <c r="A25" s="1" t="s">
        <v>26</v>
      </c>
      <c r="B25">
        <v>21</v>
      </c>
      <c r="C25">
        <f t="shared" si="0"/>
        <v>19</v>
      </c>
      <c r="D25">
        <f t="shared" si="1"/>
        <v>22</v>
      </c>
    </row>
    <row r="26" spans="1:4" x14ac:dyDescent="0.3">
      <c r="A26" s="1" t="s">
        <v>27</v>
      </c>
      <c r="B26">
        <v>20</v>
      </c>
      <c r="C26">
        <f t="shared" si="0"/>
        <v>18</v>
      </c>
      <c r="D26">
        <f t="shared" si="1"/>
        <v>21</v>
      </c>
    </row>
    <row r="27" spans="1:4" x14ac:dyDescent="0.3">
      <c r="A27" s="1" t="s">
        <v>28</v>
      </c>
      <c r="B27">
        <v>20</v>
      </c>
      <c r="C27">
        <f t="shared" si="0"/>
        <v>18</v>
      </c>
      <c r="D27">
        <f t="shared" si="1"/>
        <v>21</v>
      </c>
    </row>
    <row r="28" spans="1:4" x14ac:dyDescent="0.3">
      <c r="A28" s="1" t="s">
        <v>29</v>
      </c>
      <c r="B28">
        <v>22</v>
      </c>
      <c r="C28">
        <f t="shared" si="0"/>
        <v>20</v>
      </c>
      <c r="D28">
        <f t="shared" si="1"/>
        <v>23</v>
      </c>
    </row>
    <row r="29" spans="1:4" x14ac:dyDescent="0.3">
      <c r="A29" s="1" t="s">
        <v>30</v>
      </c>
      <c r="B29">
        <v>23</v>
      </c>
      <c r="C29">
        <f t="shared" si="0"/>
        <v>21</v>
      </c>
      <c r="D29">
        <f t="shared" si="1"/>
        <v>24</v>
      </c>
    </row>
    <row r="30" spans="1:4" x14ac:dyDescent="0.3">
      <c r="A30" s="1" t="s">
        <v>31</v>
      </c>
      <c r="B30">
        <v>21</v>
      </c>
      <c r="C30">
        <f t="shared" si="0"/>
        <v>19</v>
      </c>
      <c r="D30">
        <f t="shared" si="1"/>
        <v>22</v>
      </c>
    </row>
    <row r="31" spans="1:4" x14ac:dyDescent="0.3">
      <c r="A31" s="1" t="s">
        <v>32</v>
      </c>
      <c r="B31">
        <v>24</v>
      </c>
      <c r="C31">
        <f t="shared" si="0"/>
        <v>22</v>
      </c>
      <c r="D31">
        <f t="shared" si="1"/>
        <v>25</v>
      </c>
    </row>
    <row r="32" spans="1:4" x14ac:dyDescent="0.3">
      <c r="A32" s="1" t="s">
        <v>33</v>
      </c>
      <c r="B32">
        <v>19</v>
      </c>
      <c r="C32">
        <f t="shared" si="0"/>
        <v>17</v>
      </c>
      <c r="D32">
        <f t="shared" si="1"/>
        <v>20</v>
      </c>
    </row>
    <row r="33" spans="1:5" x14ac:dyDescent="0.3">
      <c r="A33" s="1" t="s">
        <v>34</v>
      </c>
      <c r="B33">
        <v>19</v>
      </c>
      <c r="C33">
        <f t="shared" si="0"/>
        <v>17</v>
      </c>
      <c r="D33">
        <f t="shared" si="1"/>
        <v>20</v>
      </c>
    </row>
    <row r="34" spans="1:5" x14ac:dyDescent="0.3">
      <c r="A34" s="1" t="s">
        <v>35</v>
      </c>
      <c r="B34">
        <v>17</v>
      </c>
      <c r="C34">
        <f t="shared" si="0"/>
        <v>15</v>
      </c>
      <c r="D34">
        <f t="shared" si="1"/>
        <v>18</v>
      </c>
    </row>
    <row r="35" spans="1:5" x14ac:dyDescent="0.3">
      <c r="A35" s="1" t="s">
        <v>36</v>
      </c>
      <c r="B35">
        <v>22</v>
      </c>
      <c r="C35">
        <f t="shared" si="0"/>
        <v>20</v>
      </c>
      <c r="D35">
        <f t="shared" si="1"/>
        <v>23</v>
      </c>
    </row>
    <row r="36" spans="1:5" x14ac:dyDescent="0.3">
      <c r="A36" s="1" t="s">
        <v>37</v>
      </c>
      <c r="B36">
        <v>22</v>
      </c>
      <c r="C36">
        <f t="shared" si="0"/>
        <v>20</v>
      </c>
      <c r="D36">
        <f t="shared" si="1"/>
        <v>23</v>
      </c>
    </row>
    <row r="37" spans="1:5" x14ac:dyDescent="0.3">
      <c r="A37" s="1" t="s">
        <v>39</v>
      </c>
      <c r="B37">
        <v>21</v>
      </c>
      <c r="C37">
        <f t="shared" si="0"/>
        <v>19</v>
      </c>
      <c r="D37">
        <f t="shared" si="1"/>
        <v>22</v>
      </c>
    </row>
    <row r="38" spans="1:5" x14ac:dyDescent="0.3">
      <c r="A38" s="1" t="s">
        <v>40</v>
      </c>
      <c r="B38">
        <v>22</v>
      </c>
      <c r="C38">
        <f t="shared" si="0"/>
        <v>20</v>
      </c>
      <c r="D38">
        <f t="shared" si="1"/>
        <v>23</v>
      </c>
    </row>
    <row r="39" spans="1:5" x14ac:dyDescent="0.3">
      <c r="A39" s="1" t="s">
        <v>41</v>
      </c>
      <c r="B39">
        <v>19</v>
      </c>
      <c r="C39">
        <f t="shared" si="0"/>
        <v>17</v>
      </c>
      <c r="D39">
        <f t="shared" si="1"/>
        <v>20</v>
      </c>
    </row>
    <row r="40" spans="1:5" x14ac:dyDescent="0.3">
      <c r="A40" s="1" t="s">
        <v>38</v>
      </c>
      <c r="B40">
        <v>18</v>
      </c>
      <c r="C40">
        <f t="shared" si="0"/>
        <v>16</v>
      </c>
      <c r="D40">
        <f t="shared" si="1"/>
        <v>19</v>
      </c>
    </row>
    <row r="41" spans="1:5" x14ac:dyDescent="0.3">
      <c r="A41" s="2" t="s">
        <v>42</v>
      </c>
      <c r="B41">
        <f>SUM(B2:B40)</f>
        <v>798</v>
      </c>
      <c r="C41">
        <f>SUM(C2:C40)</f>
        <v>720</v>
      </c>
      <c r="D41">
        <f>SUM(D2:D40)</f>
        <v>837</v>
      </c>
    </row>
    <row r="42" spans="1:5" x14ac:dyDescent="0.3">
      <c r="E42" t="s">
        <v>43</v>
      </c>
    </row>
    <row r="43" spans="1:5" x14ac:dyDescent="0.3">
      <c r="A43" s="2" t="s">
        <v>44</v>
      </c>
      <c r="C43" s="4">
        <f>C41*E43</f>
        <v>7200000</v>
      </c>
      <c r="E43" s="3">
        <v>10000</v>
      </c>
    </row>
    <row r="45" spans="1:5" x14ac:dyDescent="0.3">
      <c r="A45" t="s">
        <v>45</v>
      </c>
      <c r="B45">
        <v>39</v>
      </c>
      <c r="C45" s="4">
        <f>B45*E45</f>
        <v>9750000</v>
      </c>
      <c r="E45" s="3">
        <v>250000</v>
      </c>
    </row>
    <row r="47" spans="1:5" x14ac:dyDescent="0.3">
      <c r="B47">
        <v>39</v>
      </c>
      <c r="C47" s="4">
        <f>B47*E47</f>
        <v>975</v>
      </c>
      <c r="E47">
        <v>25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49E3-FC3A-47CC-BB82-BB0FF88F07F5}">
  <dimension ref="A1:C42"/>
  <sheetViews>
    <sheetView tabSelected="1" workbookViewId="0">
      <selection activeCell="I17" sqref="I17"/>
    </sheetView>
  </sheetViews>
  <sheetFormatPr defaultRowHeight="16.5" x14ac:dyDescent="0.3"/>
  <cols>
    <col min="1" max="1" width="78.125" bestFit="1" customWidth="1"/>
    <col min="2" max="3" width="11.75" bestFit="1" customWidth="1"/>
  </cols>
  <sheetData>
    <row r="1" spans="1:3" x14ac:dyDescent="0.3">
      <c r="A1" t="s">
        <v>89</v>
      </c>
    </row>
    <row r="2" spans="1:3" x14ac:dyDescent="0.3">
      <c r="A2" t="s">
        <v>47</v>
      </c>
      <c r="B2" t="s">
        <v>48</v>
      </c>
      <c r="C2" t="s">
        <v>49</v>
      </c>
    </row>
    <row r="3" spans="1:3" x14ac:dyDescent="0.3">
      <c r="A3" s="5" t="s">
        <v>88</v>
      </c>
      <c r="B3">
        <v>26</v>
      </c>
      <c r="C3">
        <v>21</v>
      </c>
    </row>
    <row r="4" spans="1:3" x14ac:dyDescent="0.3">
      <c r="A4" s="5" t="s">
        <v>50</v>
      </c>
      <c r="B4">
        <v>20</v>
      </c>
      <c r="C4">
        <v>15</v>
      </c>
    </row>
    <row r="5" spans="1:3" x14ac:dyDescent="0.3">
      <c r="A5" s="5" t="s">
        <v>51</v>
      </c>
      <c r="B5">
        <v>21</v>
      </c>
      <c r="C5">
        <v>16</v>
      </c>
    </row>
    <row r="6" spans="1:3" x14ac:dyDescent="0.3">
      <c r="A6" s="5" t="s">
        <v>52</v>
      </c>
      <c r="B6">
        <v>16</v>
      </c>
      <c r="C6">
        <v>11</v>
      </c>
    </row>
    <row r="7" spans="1:3" x14ac:dyDescent="0.3">
      <c r="A7" s="5" t="s">
        <v>53</v>
      </c>
      <c r="B7">
        <v>18</v>
      </c>
      <c r="C7">
        <v>13</v>
      </c>
    </row>
    <row r="8" spans="1:3" x14ac:dyDescent="0.3">
      <c r="A8" s="5" t="s">
        <v>54</v>
      </c>
      <c r="B8">
        <v>18</v>
      </c>
      <c r="C8">
        <v>13</v>
      </c>
    </row>
    <row r="9" spans="1:3" x14ac:dyDescent="0.3">
      <c r="A9" s="5" t="s">
        <v>55</v>
      </c>
      <c r="B9">
        <v>21</v>
      </c>
      <c r="C9">
        <v>16</v>
      </c>
    </row>
    <row r="10" spans="1:3" x14ac:dyDescent="0.3">
      <c r="A10" s="5" t="s">
        <v>56</v>
      </c>
      <c r="B10">
        <v>18</v>
      </c>
      <c r="C10">
        <v>13</v>
      </c>
    </row>
    <row r="11" spans="1:3" x14ac:dyDescent="0.3">
      <c r="A11" s="5" t="s">
        <v>57</v>
      </c>
      <c r="B11">
        <v>18</v>
      </c>
      <c r="C11">
        <v>13</v>
      </c>
    </row>
    <row r="12" spans="1:3" x14ac:dyDescent="0.3">
      <c r="A12" s="5" t="s">
        <v>58</v>
      </c>
      <c r="B12">
        <v>20</v>
      </c>
      <c r="C12">
        <v>15</v>
      </c>
    </row>
    <row r="13" spans="1:3" x14ac:dyDescent="0.3">
      <c r="A13" s="5" t="s">
        <v>59</v>
      </c>
      <c r="B13">
        <v>19</v>
      </c>
      <c r="C13">
        <v>14</v>
      </c>
    </row>
    <row r="14" spans="1:3" x14ac:dyDescent="0.3">
      <c r="A14" s="5" t="s">
        <v>60</v>
      </c>
      <c r="B14">
        <v>20</v>
      </c>
      <c r="C14">
        <v>15</v>
      </c>
    </row>
    <row r="15" spans="1:3" x14ac:dyDescent="0.3">
      <c r="A15" s="5" t="s">
        <v>61</v>
      </c>
      <c r="B15">
        <v>25</v>
      </c>
      <c r="C15">
        <v>20</v>
      </c>
    </row>
    <row r="16" spans="1:3" x14ac:dyDescent="0.3">
      <c r="A16" s="5" t="s">
        <v>62</v>
      </c>
      <c r="B16">
        <v>22</v>
      </c>
      <c r="C16">
        <v>17</v>
      </c>
    </row>
    <row r="17" spans="1:3" x14ac:dyDescent="0.3">
      <c r="A17" s="5" t="s">
        <v>63</v>
      </c>
      <c r="B17">
        <v>23</v>
      </c>
      <c r="C17">
        <v>18</v>
      </c>
    </row>
    <row r="18" spans="1:3" x14ac:dyDescent="0.3">
      <c r="A18" s="5" t="s">
        <v>64</v>
      </c>
      <c r="B18">
        <v>23</v>
      </c>
      <c r="C18">
        <v>18</v>
      </c>
    </row>
    <row r="19" spans="1:3" x14ac:dyDescent="0.3">
      <c r="A19" s="5" t="s">
        <v>65</v>
      </c>
      <c r="B19">
        <v>24</v>
      </c>
      <c r="C19">
        <v>19</v>
      </c>
    </row>
    <row r="20" spans="1:3" x14ac:dyDescent="0.3">
      <c r="A20" s="5" t="s">
        <v>66</v>
      </c>
      <c r="B20">
        <v>22</v>
      </c>
      <c r="C20">
        <v>17</v>
      </c>
    </row>
    <row r="21" spans="1:3" x14ac:dyDescent="0.3">
      <c r="A21" s="5" t="s">
        <v>67</v>
      </c>
      <c r="B21">
        <v>22</v>
      </c>
      <c r="C21">
        <v>17</v>
      </c>
    </row>
    <row r="22" spans="1:3" x14ac:dyDescent="0.3">
      <c r="A22" s="5" t="s">
        <v>68</v>
      </c>
      <c r="B22">
        <v>19</v>
      </c>
      <c r="C22">
        <v>14</v>
      </c>
    </row>
    <row r="23" spans="1:3" x14ac:dyDescent="0.3">
      <c r="A23" s="5" t="s">
        <v>69</v>
      </c>
      <c r="B23">
        <v>20</v>
      </c>
      <c r="C23">
        <v>15</v>
      </c>
    </row>
    <row r="24" spans="1:3" x14ac:dyDescent="0.3">
      <c r="A24" s="5" t="s">
        <v>70</v>
      </c>
      <c r="B24">
        <v>18</v>
      </c>
      <c r="C24">
        <v>13</v>
      </c>
    </row>
    <row r="25" spans="1:3" x14ac:dyDescent="0.3">
      <c r="A25" s="5" t="s">
        <v>71</v>
      </c>
      <c r="B25">
        <v>21</v>
      </c>
      <c r="C25">
        <v>16</v>
      </c>
    </row>
    <row r="26" spans="1:3" x14ac:dyDescent="0.3">
      <c r="A26" s="5" t="s">
        <v>72</v>
      </c>
      <c r="B26">
        <v>23</v>
      </c>
      <c r="C26">
        <v>18</v>
      </c>
    </row>
    <row r="27" spans="1:3" x14ac:dyDescent="0.3">
      <c r="A27" s="5" t="s">
        <v>73</v>
      </c>
      <c r="B27">
        <v>22</v>
      </c>
      <c r="C27">
        <v>17</v>
      </c>
    </row>
    <row r="28" spans="1:3" x14ac:dyDescent="0.3">
      <c r="A28" s="5" t="s">
        <v>74</v>
      </c>
      <c r="B28">
        <v>21</v>
      </c>
      <c r="C28">
        <v>16</v>
      </c>
    </row>
    <row r="29" spans="1:3" x14ac:dyDescent="0.3">
      <c r="A29" s="5" t="s">
        <v>75</v>
      </c>
      <c r="B29">
        <v>21</v>
      </c>
      <c r="C29">
        <v>16</v>
      </c>
    </row>
    <row r="30" spans="1:3" x14ac:dyDescent="0.3">
      <c r="A30" s="5" t="s">
        <v>76</v>
      </c>
      <c r="B30">
        <v>19</v>
      </c>
      <c r="C30">
        <v>14</v>
      </c>
    </row>
    <row r="31" spans="1:3" x14ac:dyDescent="0.3">
      <c r="A31" s="5" t="s">
        <v>77</v>
      </c>
      <c r="B31">
        <v>18</v>
      </c>
      <c r="C31">
        <v>13</v>
      </c>
    </row>
    <row r="32" spans="1:3" x14ac:dyDescent="0.3">
      <c r="A32" s="5" t="s">
        <v>78</v>
      </c>
      <c r="B32">
        <v>24</v>
      </c>
      <c r="C32">
        <v>19</v>
      </c>
    </row>
    <row r="33" spans="1:3" x14ac:dyDescent="0.3">
      <c r="A33" s="5" t="s">
        <v>79</v>
      </c>
      <c r="B33">
        <v>19</v>
      </c>
      <c r="C33">
        <v>14</v>
      </c>
    </row>
    <row r="34" spans="1:3" x14ac:dyDescent="0.3">
      <c r="A34" s="5" t="s">
        <v>80</v>
      </c>
      <c r="B34">
        <v>21</v>
      </c>
      <c r="C34">
        <v>16</v>
      </c>
    </row>
    <row r="35" spans="1:3" x14ac:dyDescent="0.3">
      <c r="A35" s="5" t="s">
        <v>81</v>
      </c>
      <c r="B35">
        <v>21</v>
      </c>
      <c r="C35">
        <v>16</v>
      </c>
    </row>
    <row r="36" spans="1:3" x14ac:dyDescent="0.3">
      <c r="A36" s="5" t="s">
        <v>82</v>
      </c>
      <c r="B36">
        <v>20</v>
      </c>
      <c r="C36">
        <v>15</v>
      </c>
    </row>
    <row r="37" spans="1:3" x14ac:dyDescent="0.3">
      <c r="A37" s="5" t="s">
        <v>83</v>
      </c>
      <c r="B37">
        <v>20</v>
      </c>
      <c r="C37">
        <v>15</v>
      </c>
    </row>
    <row r="38" spans="1:3" x14ac:dyDescent="0.3">
      <c r="A38" s="5" t="s">
        <v>84</v>
      </c>
      <c r="B38">
        <v>24</v>
      </c>
      <c r="C38">
        <v>19</v>
      </c>
    </row>
    <row r="39" spans="1:3" x14ac:dyDescent="0.3">
      <c r="A39" s="5" t="s">
        <v>85</v>
      </c>
      <c r="B39">
        <v>17</v>
      </c>
      <c r="C39">
        <v>12</v>
      </c>
    </row>
    <row r="40" spans="1:3" x14ac:dyDescent="0.3">
      <c r="A40" s="5" t="s">
        <v>86</v>
      </c>
      <c r="B40">
        <v>21</v>
      </c>
      <c r="C40">
        <v>16</v>
      </c>
    </row>
    <row r="41" spans="1:3" x14ac:dyDescent="0.3">
      <c r="A41" s="5" t="s">
        <v>87</v>
      </c>
      <c r="B41">
        <v>23</v>
      </c>
      <c r="C41">
        <v>18</v>
      </c>
    </row>
    <row r="42" spans="1:3" x14ac:dyDescent="0.3">
      <c r="A42" s="5"/>
      <c r="B42">
        <f>SUM(count__2[Column2])</f>
        <v>808</v>
      </c>
      <c r="C42">
        <f>SUM(count__2[Column3])</f>
        <v>613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A23A54-BDED-461E-8CD9-9FE154592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2024 지능형IoT</vt:lpstr>
      <vt:lpstr>2025 온디바이스AI모델링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sbbaik</dc:creator>
  <cp:lastModifiedBy>Baik Seongbok</cp:lastModifiedBy>
  <dcterms:created xsi:type="dcterms:W3CDTF">2015-06-05T18:19:34Z</dcterms:created>
  <dcterms:modified xsi:type="dcterms:W3CDTF">2025-06-28T06:32:08Z</dcterms:modified>
</cp:coreProperties>
</file>